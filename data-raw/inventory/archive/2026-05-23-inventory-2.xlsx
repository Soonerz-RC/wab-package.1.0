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gibber/Downloads/Claude_Dev/wab-package.1.0/data-raw/inventory/"/>
    </mc:Choice>
  </mc:AlternateContent>
  <xr:revisionPtr revIDLastSave="0" documentId="13_ncr:1_{ECF6A12B-FB54-154F-9335-E95A24031567}" xr6:coauthVersionLast="47" xr6:coauthVersionMax="47" xr10:uidLastSave="{00000000-0000-0000-0000-000000000000}"/>
  <bookViews>
    <workbookView xWindow="0" yWindow="660" windowWidth="29400" windowHeight="18460" xr2:uid="{A42D580B-C565-6849-8219-E7B1F2713714}"/>
  </bookViews>
  <sheets>
    <sheet name="Inventory 4 Sale" sheetId="1" r:id="rId1"/>
  </sheets>
  <definedNames>
    <definedName name="_xlnm._FilterDatabase" localSheetId="0" hidden="1">'Inventory 4 Sale'!$D$45:$G$88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91" i="1" l="1"/>
  <c r="K46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L21" i="1"/>
  <c r="L20" i="1"/>
  <c r="L19" i="1"/>
  <c r="L18" i="1"/>
  <c r="L17" i="1"/>
  <c r="L16" i="1"/>
  <c r="L15" i="1"/>
  <c r="L14" i="1"/>
  <c r="M13" i="1"/>
  <c r="L13" i="1"/>
  <c r="L12" i="1"/>
  <c r="M11" i="1"/>
  <c r="N10" i="1"/>
  <c r="L9" i="1"/>
  <c r="N8" i="1"/>
  <c r="N7" i="1"/>
  <c r="N6" i="1"/>
  <c r="F4" i="1"/>
  <c r="O39" i="1" l="1"/>
  <c r="O38" i="1"/>
  <c r="K93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M14" i="1"/>
  <c r="N13" i="1"/>
  <c r="O13" i="1" s="1"/>
  <c r="N12" i="1"/>
  <c r="O12" i="1" s="1"/>
  <c r="O8" i="1"/>
  <c r="O7" i="1"/>
  <c r="O6" i="1"/>
  <c r="K48" i="1"/>
  <c r="N11" i="1"/>
  <c r="O11" i="1" s="1"/>
  <c r="O10" i="1"/>
  <c r="L4" i="1"/>
  <c r="O40" i="1"/>
  <c r="N14" i="1" l="1"/>
  <c r="O14" i="1" s="1"/>
  <c r="M15" i="1"/>
  <c r="N15" i="1" l="1"/>
  <c r="O15" i="1" s="1"/>
  <c r="M16" i="1"/>
  <c r="N16" i="1" l="1"/>
  <c r="O16" i="1" s="1"/>
  <c r="M17" i="1"/>
  <c r="N17" i="1" l="1"/>
  <c r="O17" i="1" s="1"/>
  <c r="M18" i="1"/>
  <c r="N18" i="1" l="1"/>
  <c r="O18" i="1" s="1"/>
  <c r="M19" i="1"/>
  <c r="N19" i="1" l="1"/>
  <c r="O19" i="1" s="1"/>
  <c r="M20" i="1"/>
  <c r="N20" i="1" l="1"/>
  <c r="O20" i="1" s="1"/>
  <c r="M21" i="1"/>
  <c r="N21" i="1" l="1"/>
  <c r="O21" i="1" s="1"/>
  <c r="M9" i="1"/>
  <c r="N9" i="1" s="1"/>
  <c r="O9" i="1" l="1"/>
  <c r="N4" i="1"/>
</calcChain>
</file>

<file path=xl/sharedStrings.xml><?xml version="1.0" encoding="utf-8"?>
<sst xmlns="http://schemas.openxmlformats.org/spreadsheetml/2006/main" count="345" uniqueCount="104">
  <si>
    <t>COUNTY</t>
  </si>
  <si>
    <t>DEAL</t>
  </si>
  <si>
    <t>STR</t>
  </si>
  <si>
    <t>TR</t>
  </si>
  <si>
    <t>NMA</t>
  </si>
  <si>
    <t>ROYALTY</t>
  </si>
  <si>
    <t>STATUS</t>
  </si>
  <si>
    <t>LEASE EXP</t>
  </si>
  <si>
    <t>NRA</t>
  </si>
  <si>
    <t>SALES PER NRA</t>
  </si>
  <si>
    <t>SALES REVENUE</t>
  </si>
  <si>
    <t>SALES PER NMA</t>
  </si>
  <si>
    <t>OPITZ</t>
  </si>
  <si>
    <t>25-11N-11W</t>
  </si>
  <si>
    <t>11N-11W</t>
  </si>
  <si>
    <t>LEASED</t>
  </si>
  <si>
    <t>MOORE</t>
  </si>
  <si>
    <t>16-11N-11W</t>
  </si>
  <si>
    <t>HBP</t>
  </si>
  <si>
    <t>RIVERS</t>
  </si>
  <si>
    <t>5-12N-16W</t>
  </si>
  <si>
    <t>12N-16W</t>
  </si>
  <si>
    <t>Napier/McClung</t>
  </si>
  <si>
    <t>32-12N-17W</t>
  </si>
  <si>
    <t>12N-17W</t>
  </si>
  <si>
    <t>TACKITT</t>
  </si>
  <si>
    <t>17-12N-18W</t>
  </si>
  <si>
    <t>12N-18W</t>
  </si>
  <si>
    <t>Reign Reg</t>
  </si>
  <si>
    <t>GILMORE</t>
  </si>
  <si>
    <t>J&amp;A Deal</t>
  </si>
  <si>
    <t>7-12N-23W</t>
  </si>
  <si>
    <t>12N-23W</t>
  </si>
  <si>
    <t>8-12N-23W</t>
  </si>
  <si>
    <t>ROGERS et al</t>
  </si>
  <si>
    <t>13-12N-23W</t>
  </si>
  <si>
    <t>16-12N-23W</t>
  </si>
  <si>
    <t>17-12N-23W</t>
  </si>
  <si>
    <t>18-12N-23W</t>
  </si>
  <si>
    <t>BERLIN</t>
  </si>
  <si>
    <t>11-12N-23W</t>
  </si>
  <si>
    <t>Muirhead et al</t>
  </si>
  <si>
    <t xml:space="preserve">Allen Family </t>
  </si>
  <si>
    <t>1-12N-15W</t>
  </si>
  <si>
    <t>12N-15W</t>
  </si>
  <si>
    <t>N/A</t>
  </si>
  <si>
    <t>OPEN</t>
  </si>
  <si>
    <t>BG</t>
  </si>
  <si>
    <t>6-13N-23W</t>
  </si>
  <si>
    <t>13N-23W</t>
  </si>
  <si>
    <t>Crawley Reg</t>
  </si>
  <si>
    <t>7-13N-23W</t>
  </si>
  <si>
    <t>17-13N-23W</t>
  </si>
  <si>
    <t>35-12N-19W</t>
  </si>
  <si>
    <t>12N-19W</t>
  </si>
  <si>
    <t>Weston Pass</t>
  </si>
  <si>
    <t>8-11N-20W</t>
  </si>
  <si>
    <t>11N-20W</t>
  </si>
  <si>
    <t>14-11N-20W</t>
  </si>
  <si>
    <t>15-11N-20W</t>
  </si>
  <si>
    <t>23-11N-19W</t>
  </si>
  <si>
    <t>11N-19W</t>
  </si>
  <si>
    <t>13-11N-18W</t>
  </si>
  <si>
    <t>11N-18W</t>
  </si>
  <si>
    <t>17-11N-18W</t>
  </si>
  <si>
    <t>19-11N-18W</t>
  </si>
  <si>
    <t>23-11N-18W</t>
  </si>
  <si>
    <t>25-11N-18W</t>
  </si>
  <si>
    <t>26-11N-18W</t>
  </si>
  <si>
    <t>32-11N-18W</t>
  </si>
  <si>
    <t>13-11N-17W</t>
  </si>
  <si>
    <t>11N-17W</t>
  </si>
  <si>
    <t>24-11N-17W</t>
  </si>
  <si>
    <t>33-11N-17W</t>
  </si>
  <si>
    <t>DOL</t>
  </si>
  <si>
    <t>EXP</t>
  </si>
  <si>
    <t>12-12N-23W</t>
  </si>
  <si>
    <t>14-13N-23W</t>
  </si>
  <si>
    <t>27-12N-23W</t>
  </si>
  <si>
    <t>17-14N-19W</t>
  </si>
  <si>
    <t>19-14N-19W</t>
  </si>
  <si>
    <t>30-14N-19W</t>
  </si>
  <si>
    <t>26-14N-20W</t>
  </si>
  <si>
    <t>28-14N-20W</t>
  </si>
  <si>
    <t>30-14N-20W</t>
  </si>
  <si>
    <t>14-15N-20W</t>
  </si>
  <si>
    <t>25-15N-20W</t>
  </si>
  <si>
    <t>26-15N-20W</t>
  </si>
  <si>
    <t xml:space="preserve"> </t>
  </si>
  <si>
    <t>Caddo</t>
  </si>
  <si>
    <t>Custer</t>
  </si>
  <si>
    <t>Roger Mills</t>
  </si>
  <si>
    <t>Washita</t>
  </si>
  <si>
    <t>REGULATORY</t>
  </si>
  <si>
    <t>MEWBOURNE Reg</t>
  </si>
  <si>
    <t>BCE Mach Reg</t>
  </si>
  <si>
    <t>Notes</t>
  </si>
  <si>
    <t>2 MISS wells; interim orders issued; 1MH &amp; 2MH, Sections 13, 24 &amp; 25</t>
  </si>
  <si>
    <t>Spacing, Sections 17 &amp; 20</t>
  </si>
  <si>
    <t>Location Exception, Interim Order, Section 6 &amp; 31 above in 14N-23W</t>
  </si>
  <si>
    <t>Mewbourne Reg</t>
  </si>
  <si>
    <t>Pooling Order issued 10.7.25, Sections 7 &amp; 18</t>
  </si>
  <si>
    <t>Location Order Interim Order Extended 1yr; well planned for Q4 '26</t>
  </si>
  <si>
    <t>Location Extension Requested to Commence Operations, Sections 1 &amp;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</si>
</sst>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44" formatCode="_(&quot;$&quot;* #,##0.00_);_(&quot;$&quot;* \(#,##0.00\);_(&quot;$&quot;* &quot;-&quot;??_);_(@_)"/>
    <numFmt numFmtId="164" formatCode="0.000"/>
    <numFmt numFmtId="165" formatCode="0.00000"/>
    <numFmt numFmtId="166" formatCode="0.0000"/>
    <numFmt numFmtId="167" formatCode="&quot;$&quot;#,##0.00"/>
    <numFmt numFmtId="168" formatCode="_(&quot;$&quot;* #,##0_);_(&quot;$&quot;* \(#,##0\);_(&quot;$&quot;* &quot;-&quot;??_);_(@_)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Calibri (Body)"/>
    </font>
    <font>
      <b/>
      <sz val="12"/>
      <name val="Times New Roman"/>
      <family val="1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38">
    <xf numFmtId="0" fontId="0" fillId="0" borderId="0" xfId="0"/>
    <xf numFmtId="0" fontId="0" fillId="2" borderId="0" xfId="0" applyFill="1" applyAlignment="1">
      <alignment horizontal="center"/>
    </xf>
    <xf numFmtId="6" fontId="0" fillId="2" borderId="0" xfId="1" applyNumberFormat="1" applyFont="1" applyFill="1" applyAlignment="1">
      <alignment horizontal="center"/>
    </xf>
    <xf numFmtId="44" fontId="0" fillId="2" borderId="0" xfId="1" applyFont="1" applyFill="1" applyAlignment="1">
      <alignment horizontal="center"/>
    </xf>
    <xf numFmtId="0" fontId="0" fillId="2" borderId="0" xfId="0" applyFill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44" fontId="1" fillId="2" borderId="0" xfId="1" applyFont="1" applyFill="1" applyBorder="1" applyAlignment="1">
      <alignment horizontal="center" wrapText="1"/>
    </xf>
    <xf numFmtId="6" fontId="0" fillId="2" borderId="0" xfId="0" applyNumberFormat="1" applyFill="1" applyAlignment="1">
      <alignment horizontal="center"/>
    </xf>
    <xf numFmtId="0" fontId="1" fillId="3" borderId="0" xfId="0" applyFont="1" applyFill="1" applyAlignment="1">
      <alignment horizontal="center"/>
    </xf>
    <xf numFmtId="164" fontId="0" fillId="2" borderId="0" xfId="0" applyNumberFormat="1" applyFill="1" applyAlignment="1">
      <alignment horizontal="center"/>
    </xf>
    <xf numFmtId="6" fontId="0" fillId="3" borderId="0" xfId="0" applyNumberFormat="1" applyFill="1" applyAlignment="1">
      <alignment horizontal="center"/>
    </xf>
    <xf numFmtId="14" fontId="0" fillId="2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/>
    </xf>
    <xf numFmtId="166" fontId="0" fillId="2" borderId="0" xfId="0" applyNumberFormat="1" applyFill="1" applyAlignment="1">
      <alignment horizontal="center"/>
    </xf>
    <xf numFmtId="166" fontId="1" fillId="2" borderId="0" xfId="0" applyNumberFormat="1" applyFont="1" applyFill="1" applyAlignment="1">
      <alignment horizontal="center"/>
    </xf>
    <xf numFmtId="2" fontId="0" fillId="2" borderId="0" xfId="0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166" fontId="2" fillId="2" borderId="1" xfId="0" applyNumberFormat="1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168" fontId="2" fillId="3" borderId="0" xfId="1" applyNumberFormat="1" applyFont="1" applyFill="1" applyAlignment="1">
      <alignment horizontal="center"/>
    </xf>
    <xf numFmtId="44" fontId="0" fillId="2" borderId="1" xfId="1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8" fontId="0" fillId="3" borderId="0" xfId="1" applyNumberFormat="1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0" fontId="7" fillId="2" borderId="0" xfId="2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kcountyrecords.com/document/watermarked/custer/002131/0501/108442598" TargetMode="External"/><Relationship Id="rId13" Type="http://schemas.openxmlformats.org/officeDocument/2006/relationships/hyperlink" Target="https://data.oseberg.io/service/attachment/occ-apporder/2025003500/file/cd2025-003500-1-application-1761932666642-sp17.pdf" TargetMode="External"/><Relationship Id="rId18" Type="http://schemas.openxmlformats.org/officeDocument/2006/relationships/hyperlink" Target="https://data.oseberg.io/service/attachment/occ-apporder/2025002247/file/cd2025-002247-19-notice-of-hearing-filed-on-behalf-of-mewbourne-oil-company.pdf" TargetMode="External"/><Relationship Id="rId3" Type="http://schemas.openxmlformats.org/officeDocument/2006/relationships/hyperlink" Target="https://okcountyrecords.com/document/watermarked/roger+mills/002678/0217/110907498" TargetMode="External"/><Relationship Id="rId7" Type="http://schemas.openxmlformats.org/officeDocument/2006/relationships/hyperlink" Target="https://okcountyrecords.com/document/watermarked/custer/002168/0140/110580081" TargetMode="External"/><Relationship Id="rId12" Type="http://schemas.openxmlformats.org/officeDocument/2006/relationships/hyperlink" Target="https://data.oseberg.io/service/attachment/occ-apporder/2026000606/file/cd2026-000606-1-application-filed-on-behalf-of-bce-mach-llc.pdf" TargetMode="External"/><Relationship Id="rId17" Type="http://schemas.openxmlformats.org/officeDocument/2006/relationships/hyperlink" Target="https://data.oseberg.io/service/attachment/occ-apporder/2025000634/file/2025000634-756921.pdf" TargetMode="External"/><Relationship Id="rId2" Type="http://schemas.openxmlformats.org/officeDocument/2006/relationships/hyperlink" Target="https://okcountyrecords.com/document/watermarked/roger+mills/002611/0163/107365078" TargetMode="External"/><Relationship Id="rId16" Type="http://schemas.openxmlformats.org/officeDocument/2006/relationships/hyperlink" Target="https://data.oseberg.io/service/attachment/occ-apporder/2025002619/file/2025002619-752591.pdf" TargetMode="External"/><Relationship Id="rId1" Type="http://schemas.openxmlformats.org/officeDocument/2006/relationships/hyperlink" Target="https://okcountyrecords.com/document/watermarked/roger+mills/002611/0166/107365087" TargetMode="External"/><Relationship Id="rId6" Type="http://schemas.openxmlformats.org/officeDocument/2006/relationships/hyperlink" Target="https://okcountyrecords.com/document/watermarked/custer/002168/0140/110580081" TargetMode="External"/><Relationship Id="rId11" Type="http://schemas.openxmlformats.org/officeDocument/2006/relationships/hyperlink" Target="https://okcountyrecords.com/document/watermarked/custer/002146/0534/109011155" TargetMode="External"/><Relationship Id="rId5" Type="http://schemas.openxmlformats.org/officeDocument/2006/relationships/hyperlink" Target="https://okcountyrecords.com/document/watermarked/roger+mills/002614/0217/107540897" TargetMode="External"/><Relationship Id="rId15" Type="http://schemas.openxmlformats.org/officeDocument/2006/relationships/hyperlink" Target="https://data.oseberg.io/service/attachment/occ-apporder/2025003391/file/2025003391-754394.pdf" TargetMode="External"/><Relationship Id="rId10" Type="http://schemas.openxmlformats.org/officeDocument/2006/relationships/hyperlink" Target="https://okcountyrecords.com/document/watermarked/roger+mills/002571/0556/102181342" TargetMode="External"/><Relationship Id="rId4" Type="http://schemas.openxmlformats.org/officeDocument/2006/relationships/hyperlink" Target="https://okcountyrecords.com/document/watermarked/roger+mills/002614/0214/107540899" TargetMode="External"/><Relationship Id="rId9" Type="http://schemas.openxmlformats.org/officeDocument/2006/relationships/hyperlink" Target="https://okcountyrecords.com/document/watermarked/roger+mills/002606/0010/107026064" TargetMode="External"/><Relationship Id="rId14" Type="http://schemas.openxmlformats.org/officeDocument/2006/relationships/hyperlink" Target="https://data.oseberg.io/service/attachment/occ-apporder/2025003500/file/cd2025-003500-1-application-1761932666642-sp17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2496C-D8FA-F24E-BE24-70039A286188}">
  <dimension ref="B4:O98"/>
  <sheetViews>
    <sheetView tabSelected="1" zoomScaleNormal="120" workbookViewId="0">
      <selection activeCell="J75" sqref="J75:J80"/>
    </sheetView>
  </sheetViews>
  <sheetFormatPr baseColWidth="10" defaultColWidth="10.83203125" defaultRowHeight="16" x14ac:dyDescent="0.2"/>
  <cols>
    <col min="1" max="1" width="10.83203125" style="4"/>
    <col min="2" max="2" width="10.83203125" style="1"/>
    <col min="3" max="3" width="14" style="1" customWidth="1"/>
    <col min="4" max="5" width="14.1640625" style="1" customWidth="1"/>
    <col min="6" max="7" width="10.83203125" style="1"/>
    <col min="8" max="10" width="16.33203125" style="1" customWidth="1"/>
    <col min="11" max="11" width="11.5" style="1" bestFit="1" customWidth="1"/>
    <col min="12" max="12" width="10.83203125" style="1"/>
    <col min="13" max="13" width="11.1640625" style="1" customWidth="1"/>
    <col min="14" max="14" width="13.6640625" style="1" customWidth="1"/>
    <col min="15" max="15" width="9.5" style="1" customWidth="1"/>
    <col min="16" max="16384" width="10.83203125" style="4"/>
  </cols>
  <sheetData>
    <row r="4" spans="2:15" ht="17" thickBot="1" x14ac:dyDescent="0.25">
      <c r="F4" s="1">
        <f>SUBTOTAL(109,F6:F40)</f>
        <v>438.48759443999995</v>
      </c>
      <c r="L4" s="1">
        <f>SUBTOTAL(109,L6:L70)</f>
        <v>718.21769166000001</v>
      </c>
      <c r="N4" s="2">
        <f>SUM(N6:N40)</f>
        <v>2535611.92081</v>
      </c>
      <c r="O4" s="3"/>
    </row>
    <row r="5" spans="2:15" ht="35" thickBot="1" x14ac:dyDescent="0.25">
      <c r="B5" s="5" t="s">
        <v>0</v>
      </c>
      <c r="C5" s="5" t="s">
        <v>1</v>
      </c>
      <c r="D5" s="5" t="s">
        <v>2</v>
      </c>
      <c r="E5" s="5" t="s">
        <v>3</v>
      </c>
      <c r="F5" s="5" t="s">
        <v>4</v>
      </c>
      <c r="G5" s="5" t="s">
        <v>5</v>
      </c>
      <c r="H5" s="5" t="s">
        <v>6</v>
      </c>
      <c r="I5" s="5" t="s">
        <v>93</v>
      </c>
      <c r="J5" s="5" t="s">
        <v>96</v>
      </c>
      <c r="K5" s="5" t="s">
        <v>7</v>
      </c>
      <c r="L5" s="5" t="s">
        <v>8</v>
      </c>
      <c r="M5" s="6" t="s">
        <v>9</v>
      </c>
      <c r="N5" s="5" t="s">
        <v>10</v>
      </c>
      <c r="O5" s="6" t="s">
        <v>11</v>
      </c>
    </row>
    <row r="6" spans="2:15" ht="85" x14ac:dyDescent="0.2">
      <c r="B6" s="7" t="s">
        <v>89</v>
      </c>
      <c r="C6" s="7" t="s">
        <v>12</v>
      </c>
      <c r="D6" s="7" t="s">
        <v>13</v>
      </c>
      <c r="E6" s="7" t="s">
        <v>14</v>
      </c>
      <c r="F6" s="7">
        <v>30</v>
      </c>
      <c r="G6" s="7">
        <v>0.2</v>
      </c>
      <c r="H6" s="7" t="s">
        <v>15</v>
      </c>
      <c r="I6" s="35" t="s">
        <v>95</v>
      </c>
      <c r="J6" s="36" t="s">
        <v>97</v>
      </c>
      <c r="K6" s="34">
        <v>46853</v>
      </c>
      <c r="L6" s="7">
        <v>48</v>
      </c>
      <c r="M6" s="8">
        <v>4000</v>
      </c>
      <c r="N6" s="9">
        <f t="shared" ref="N6:N40" si="0">M6*L6</f>
        <v>192000</v>
      </c>
      <c r="O6" s="9">
        <f t="shared" ref="O6:O40" si="1">N6/F6</f>
        <v>6400</v>
      </c>
    </row>
    <row r="7" spans="2:15" x14ac:dyDescent="0.2">
      <c r="B7" s="7" t="s">
        <v>89</v>
      </c>
      <c r="C7" s="7" t="s">
        <v>16</v>
      </c>
      <c r="D7" s="7" t="s">
        <v>17</v>
      </c>
      <c r="E7" s="7" t="s">
        <v>14</v>
      </c>
      <c r="F7" s="7">
        <v>30</v>
      </c>
      <c r="G7" s="7">
        <v>0.1875</v>
      </c>
      <c r="H7" s="7" t="s">
        <v>18</v>
      </c>
      <c r="I7" s="7"/>
      <c r="J7" s="7"/>
      <c r="K7" s="7"/>
      <c r="L7" s="7">
        <v>45</v>
      </c>
      <c r="M7" s="8">
        <v>3000</v>
      </c>
      <c r="N7" s="9">
        <f t="shared" si="0"/>
        <v>135000</v>
      </c>
      <c r="O7" s="9">
        <f t="shared" si="1"/>
        <v>4500</v>
      </c>
    </row>
    <row r="8" spans="2:15" x14ac:dyDescent="0.2">
      <c r="B8" s="1" t="s">
        <v>90</v>
      </c>
      <c r="C8" s="10" t="s">
        <v>19</v>
      </c>
      <c r="D8" s="7" t="s">
        <v>20</v>
      </c>
      <c r="E8" s="7" t="s">
        <v>21</v>
      </c>
      <c r="F8" s="11">
        <v>37.875</v>
      </c>
      <c r="G8" s="7">
        <v>0.25</v>
      </c>
      <c r="H8" s="7" t="s">
        <v>15</v>
      </c>
      <c r="I8" s="7"/>
      <c r="J8" s="7"/>
      <c r="K8" s="13">
        <v>47258</v>
      </c>
      <c r="L8" s="1">
        <v>75.75</v>
      </c>
      <c r="M8" s="12">
        <v>3500</v>
      </c>
      <c r="N8" s="9">
        <f t="shared" si="0"/>
        <v>265125</v>
      </c>
      <c r="O8" s="9">
        <f t="shared" si="1"/>
        <v>7000</v>
      </c>
    </row>
    <row r="9" spans="2:15" x14ac:dyDescent="0.2">
      <c r="B9" s="1" t="s">
        <v>90</v>
      </c>
      <c r="C9" s="10" t="s">
        <v>22</v>
      </c>
      <c r="D9" s="7" t="s">
        <v>23</v>
      </c>
      <c r="E9" s="7" t="s">
        <v>24</v>
      </c>
      <c r="F9" s="1">
        <v>63.332999999999998</v>
      </c>
      <c r="G9" s="1">
        <v>0.1875</v>
      </c>
      <c r="H9" s="35" t="s">
        <v>15</v>
      </c>
      <c r="I9" s="7"/>
      <c r="J9" s="7"/>
      <c r="K9" s="13">
        <v>46961</v>
      </c>
      <c r="L9" s="1">
        <f>F9*8*G9</f>
        <v>94.999499999999998</v>
      </c>
      <c r="M9" s="9">
        <f>M21</f>
        <v>3500</v>
      </c>
      <c r="N9" s="9">
        <f>M9*L9</f>
        <v>332498.25</v>
      </c>
      <c r="O9" s="9">
        <f>N9/F9</f>
        <v>5250</v>
      </c>
    </row>
    <row r="10" spans="2:15" ht="34" x14ac:dyDescent="0.2">
      <c r="B10" s="1" t="s">
        <v>90</v>
      </c>
      <c r="C10" s="10" t="s">
        <v>25</v>
      </c>
      <c r="D10" s="7" t="s">
        <v>26</v>
      </c>
      <c r="E10" s="7" t="s">
        <v>27</v>
      </c>
      <c r="F10" s="11">
        <v>20</v>
      </c>
      <c r="G10" s="7">
        <v>0.25</v>
      </c>
      <c r="H10" s="35" t="s">
        <v>15</v>
      </c>
      <c r="I10" s="35" t="s">
        <v>28</v>
      </c>
      <c r="J10" s="36" t="s">
        <v>98</v>
      </c>
      <c r="K10" s="13">
        <v>47077</v>
      </c>
      <c r="L10" s="1">
        <v>40</v>
      </c>
      <c r="M10" s="9">
        <v>4000</v>
      </c>
      <c r="N10" s="9">
        <f t="shared" si="0"/>
        <v>160000</v>
      </c>
      <c r="O10" s="9">
        <f t="shared" si="1"/>
        <v>8000</v>
      </c>
    </row>
    <row r="11" spans="2:15" ht="34" x14ac:dyDescent="0.2">
      <c r="B11" s="1" t="s">
        <v>90</v>
      </c>
      <c r="C11" s="10" t="s">
        <v>29</v>
      </c>
      <c r="D11" s="7" t="s">
        <v>26</v>
      </c>
      <c r="E11" s="7" t="s">
        <v>27</v>
      </c>
      <c r="F11" s="11">
        <v>20</v>
      </c>
      <c r="G11" s="7">
        <v>0.25</v>
      </c>
      <c r="H11" s="35" t="s">
        <v>15</v>
      </c>
      <c r="I11" s="35" t="s">
        <v>28</v>
      </c>
      <c r="J11" s="36" t="s">
        <v>98</v>
      </c>
      <c r="K11" s="13">
        <v>47077</v>
      </c>
      <c r="L11" s="1">
        <v>40</v>
      </c>
      <c r="M11" s="9">
        <f>M10</f>
        <v>4000</v>
      </c>
      <c r="N11" s="9">
        <f t="shared" si="0"/>
        <v>160000</v>
      </c>
      <c r="O11" s="9">
        <f t="shared" si="1"/>
        <v>8000</v>
      </c>
    </row>
    <row r="12" spans="2:15" x14ac:dyDescent="0.2">
      <c r="B12" s="1" t="s">
        <v>91</v>
      </c>
      <c r="C12" s="7" t="s">
        <v>30</v>
      </c>
      <c r="D12" s="7" t="s">
        <v>31</v>
      </c>
      <c r="E12" s="7" t="s">
        <v>32</v>
      </c>
      <c r="F12" s="11">
        <v>8.5</v>
      </c>
      <c r="G12" s="7">
        <v>0.1875</v>
      </c>
      <c r="H12" s="7" t="s">
        <v>18</v>
      </c>
      <c r="I12" s="7"/>
      <c r="J12" s="7"/>
      <c r="L12" s="1">
        <f>F12*8*G12</f>
        <v>12.75</v>
      </c>
      <c r="M12" s="9">
        <v>3500</v>
      </c>
      <c r="N12" s="9">
        <f t="shared" si="0"/>
        <v>44625</v>
      </c>
      <c r="O12" s="9">
        <f t="shared" si="1"/>
        <v>5250</v>
      </c>
    </row>
    <row r="13" spans="2:15" x14ac:dyDescent="0.2">
      <c r="B13" s="1" t="s">
        <v>91</v>
      </c>
      <c r="C13" s="7" t="s">
        <v>30</v>
      </c>
      <c r="D13" s="7" t="s">
        <v>33</v>
      </c>
      <c r="E13" s="7" t="s">
        <v>32</v>
      </c>
      <c r="F13" s="14">
        <v>1.08595</v>
      </c>
      <c r="G13" s="7">
        <v>0.1875</v>
      </c>
      <c r="H13" s="7" t="s">
        <v>18</v>
      </c>
      <c r="I13" s="7"/>
      <c r="J13" s="7"/>
      <c r="L13" s="1">
        <f t="shared" ref="L13:L21" si="2">F13*8*G13</f>
        <v>1.628925</v>
      </c>
      <c r="M13" s="9">
        <f t="shared" ref="M13:M21" si="3">M12</f>
        <v>3500</v>
      </c>
      <c r="N13" s="9">
        <f t="shared" si="0"/>
        <v>5701.2375000000002</v>
      </c>
      <c r="O13" s="9">
        <f t="shared" si="1"/>
        <v>5250</v>
      </c>
    </row>
    <row r="14" spans="2:15" x14ac:dyDescent="0.2">
      <c r="B14" s="1" t="s">
        <v>91</v>
      </c>
      <c r="C14" s="7" t="s">
        <v>34</v>
      </c>
      <c r="D14" s="7" t="s">
        <v>35</v>
      </c>
      <c r="E14" s="7" t="s">
        <v>32</v>
      </c>
      <c r="F14" s="11">
        <v>30</v>
      </c>
      <c r="G14" s="1">
        <v>0.25</v>
      </c>
      <c r="H14" s="35" t="s">
        <v>15</v>
      </c>
      <c r="I14" s="7"/>
      <c r="J14" s="7"/>
      <c r="K14" s="13">
        <v>47229</v>
      </c>
      <c r="L14" s="1">
        <f t="shared" si="2"/>
        <v>60</v>
      </c>
      <c r="M14" s="9">
        <f t="shared" si="3"/>
        <v>3500</v>
      </c>
      <c r="N14" s="9">
        <f t="shared" si="0"/>
        <v>210000</v>
      </c>
      <c r="O14" s="9">
        <f t="shared" si="1"/>
        <v>7000</v>
      </c>
    </row>
    <row r="15" spans="2:15" x14ac:dyDescent="0.2">
      <c r="B15" s="1" t="s">
        <v>91</v>
      </c>
      <c r="C15" s="7" t="s">
        <v>30</v>
      </c>
      <c r="D15" s="7" t="s">
        <v>36</v>
      </c>
      <c r="E15" s="7" t="s">
        <v>32</v>
      </c>
      <c r="F15" s="11">
        <v>5.625</v>
      </c>
      <c r="G15" s="1">
        <v>0.2</v>
      </c>
      <c r="H15" s="35" t="s">
        <v>15</v>
      </c>
      <c r="I15" s="7"/>
      <c r="J15" s="7"/>
      <c r="K15" s="13">
        <v>46783</v>
      </c>
      <c r="L15" s="15">
        <f t="shared" si="2"/>
        <v>9</v>
      </c>
      <c r="M15" s="9">
        <f t="shared" si="3"/>
        <v>3500</v>
      </c>
      <c r="N15" s="9">
        <f t="shared" si="0"/>
        <v>31500</v>
      </c>
      <c r="O15" s="9">
        <f t="shared" si="1"/>
        <v>5600</v>
      </c>
    </row>
    <row r="16" spans="2:15" x14ac:dyDescent="0.2">
      <c r="B16" s="1" t="s">
        <v>91</v>
      </c>
      <c r="C16" s="7" t="s">
        <v>30</v>
      </c>
      <c r="D16" s="7" t="s">
        <v>37</v>
      </c>
      <c r="E16" s="7" t="s">
        <v>32</v>
      </c>
      <c r="F16" s="11">
        <v>2.5</v>
      </c>
      <c r="G16" s="1">
        <v>0.2</v>
      </c>
      <c r="H16" s="35" t="s">
        <v>15</v>
      </c>
      <c r="I16" s="7"/>
      <c r="J16" s="7"/>
      <c r="K16" s="13">
        <v>46783</v>
      </c>
      <c r="L16" s="11">
        <f t="shared" si="2"/>
        <v>4</v>
      </c>
      <c r="M16" s="9">
        <f t="shared" si="3"/>
        <v>3500</v>
      </c>
      <c r="N16" s="9">
        <f t="shared" si="0"/>
        <v>14000</v>
      </c>
      <c r="O16" s="9">
        <f t="shared" si="1"/>
        <v>5600</v>
      </c>
    </row>
    <row r="17" spans="2:15" x14ac:dyDescent="0.2">
      <c r="B17" s="1" t="s">
        <v>91</v>
      </c>
      <c r="C17" s="7" t="s">
        <v>30</v>
      </c>
      <c r="D17" s="7" t="s">
        <v>38</v>
      </c>
      <c r="E17" s="7" t="s">
        <v>32</v>
      </c>
      <c r="F17" s="11">
        <v>1.25</v>
      </c>
      <c r="G17" s="1">
        <v>0.1875</v>
      </c>
      <c r="H17" s="7" t="s">
        <v>18</v>
      </c>
      <c r="I17" s="7"/>
      <c r="J17" s="7"/>
      <c r="L17" s="1">
        <f t="shared" si="2"/>
        <v>1.875</v>
      </c>
      <c r="M17" s="9">
        <f t="shared" si="3"/>
        <v>3500</v>
      </c>
      <c r="N17" s="9">
        <f t="shared" si="0"/>
        <v>6562.5</v>
      </c>
      <c r="O17" s="9">
        <f t="shared" si="1"/>
        <v>5250</v>
      </c>
    </row>
    <row r="18" spans="2:15" x14ac:dyDescent="0.2">
      <c r="B18" s="1" t="s">
        <v>91</v>
      </c>
      <c r="C18" s="10" t="s">
        <v>39</v>
      </c>
      <c r="D18" s="7" t="s">
        <v>40</v>
      </c>
      <c r="E18" s="7" t="s">
        <v>32</v>
      </c>
      <c r="F18" s="16">
        <v>17.7774</v>
      </c>
      <c r="G18" s="1">
        <v>0.125</v>
      </c>
      <c r="H18" s="7" t="s">
        <v>18</v>
      </c>
      <c r="I18" s="7"/>
      <c r="J18" s="7"/>
      <c r="L18" s="1">
        <f t="shared" si="2"/>
        <v>17.7774</v>
      </c>
      <c r="M18" s="9">
        <f t="shared" si="3"/>
        <v>3500</v>
      </c>
      <c r="N18" s="9">
        <f t="shared" si="0"/>
        <v>62220.9</v>
      </c>
      <c r="O18" s="9">
        <f t="shared" si="1"/>
        <v>3500</v>
      </c>
    </row>
    <row r="19" spans="2:15" x14ac:dyDescent="0.2">
      <c r="B19" s="1" t="s">
        <v>91</v>
      </c>
      <c r="C19" s="7" t="s">
        <v>41</v>
      </c>
      <c r="D19" s="7" t="s">
        <v>33</v>
      </c>
      <c r="E19" s="7" t="s">
        <v>32</v>
      </c>
      <c r="F19" s="1">
        <v>4.4444888799999998</v>
      </c>
      <c r="G19" s="1">
        <v>0.1875</v>
      </c>
      <c r="H19" s="7" t="s">
        <v>18</v>
      </c>
      <c r="I19" s="7"/>
      <c r="J19" s="7"/>
      <c r="L19" s="1">
        <f t="shared" si="2"/>
        <v>6.6667333199999996</v>
      </c>
      <c r="M19" s="9">
        <f t="shared" si="3"/>
        <v>3500</v>
      </c>
      <c r="N19" s="9">
        <f t="shared" si="0"/>
        <v>23333.566619999998</v>
      </c>
      <c r="O19" s="9">
        <f t="shared" si="1"/>
        <v>5250</v>
      </c>
    </row>
    <row r="20" spans="2:15" x14ac:dyDescent="0.2">
      <c r="B20" s="1" t="s">
        <v>91</v>
      </c>
      <c r="C20" s="7" t="s">
        <v>41</v>
      </c>
      <c r="D20" s="7" t="s">
        <v>36</v>
      </c>
      <c r="E20" s="7" t="s">
        <v>32</v>
      </c>
      <c r="F20" s="1">
        <v>17.778755559999997</v>
      </c>
      <c r="G20" s="1">
        <v>0.1875</v>
      </c>
      <c r="H20" s="35" t="s">
        <v>15</v>
      </c>
      <c r="I20" s="7"/>
      <c r="J20" s="7"/>
      <c r="K20" s="13">
        <v>46783</v>
      </c>
      <c r="L20" s="1">
        <f t="shared" si="2"/>
        <v>26.668133339999997</v>
      </c>
      <c r="M20" s="9">
        <f t="shared" si="3"/>
        <v>3500</v>
      </c>
      <c r="N20" s="9">
        <f t="shared" si="0"/>
        <v>93338.466689999987</v>
      </c>
      <c r="O20" s="9">
        <f t="shared" si="1"/>
        <v>5250</v>
      </c>
    </row>
    <row r="21" spans="2:15" x14ac:dyDescent="0.2">
      <c r="B21" s="1" t="s">
        <v>91</v>
      </c>
      <c r="C21" s="7" t="s">
        <v>41</v>
      </c>
      <c r="D21" s="7" t="s">
        <v>37</v>
      </c>
      <c r="E21" s="7" t="s">
        <v>32</v>
      </c>
      <c r="F21" s="1">
        <v>26.667999999999999</v>
      </c>
      <c r="G21" s="1">
        <v>0.1875</v>
      </c>
      <c r="H21" s="35" t="s">
        <v>15</v>
      </c>
      <c r="I21" s="7"/>
      <c r="J21" s="7"/>
      <c r="K21" s="13">
        <v>46783</v>
      </c>
      <c r="L21" s="1">
        <f t="shared" si="2"/>
        <v>40.001999999999995</v>
      </c>
      <c r="M21" s="9">
        <f t="shared" si="3"/>
        <v>3500</v>
      </c>
      <c r="N21" s="9">
        <f t="shared" si="0"/>
        <v>140006.99999999997</v>
      </c>
      <c r="O21" s="9">
        <f t="shared" si="1"/>
        <v>5249.9999999999991</v>
      </c>
    </row>
    <row r="22" spans="2:15" x14ac:dyDescent="0.2">
      <c r="B22" s="1" t="s">
        <v>91</v>
      </c>
      <c r="C22" s="1" t="s">
        <v>42</v>
      </c>
      <c r="D22" s="1" t="s">
        <v>43</v>
      </c>
      <c r="E22" s="1" t="s">
        <v>44</v>
      </c>
      <c r="F22" s="1">
        <v>6.5</v>
      </c>
      <c r="G22" s="1" t="s">
        <v>45</v>
      </c>
      <c r="H22" s="1" t="s">
        <v>46</v>
      </c>
      <c r="L22" s="17">
        <v>13</v>
      </c>
      <c r="M22" s="18">
        <v>3500</v>
      </c>
      <c r="N22" s="18">
        <f t="shared" si="0"/>
        <v>45500</v>
      </c>
      <c r="O22" s="18">
        <f t="shared" si="1"/>
        <v>7000</v>
      </c>
    </row>
    <row r="23" spans="2:15" ht="85" x14ac:dyDescent="0.2">
      <c r="B23" s="1" t="s">
        <v>91</v>
      </c>
      <c r="C23" s="1" t="s">
        <v>47</v>
      </c>
      <c r="D23" s="1" t="s">
        <v>48</v>
      </c>
      <c r="E23" s="1" t="s">
        <v>49</v>
      </c>
      <c r="F23" s="1">
        <v>15</v>
      </c>
      <c r="G23" s="1">
        <v>0.2</v>
      </c>
      <c r="H23" s="35" t="s">
        <v>15</v>
      </c>
      <c r="I23" s="35" t="s">
        <v>50</v>
      </c>
      <c r="J23" s="37" t="s">
        <v>99</v>
      </c>
      <c r="K23" s="13">
        <v>46678</v>
      </c>
      <c r="L23" s="17">
        <v>24</v>
      </c>
      <c r="M23" s="18">
        <v>4000</v>
      </c>
      <c r="N23" s="18">
        <f t="shared" si="0"/>
        <v>96000</v>
      </c>
      <c r="O23" s="18">
        <f t="shared" si="1"/>
        <v>6400</v>
      </c>
    </row>
    <row r="24" spans="2:15" ht="51" x14ac:dyDescent="0.2">
      <c r="B24" s="1" t="s">
        <v>91</v>
      </c>
      <c r="C24" s="1" t="s">
        <v>47</v>
      </c>
      <c r="D24" s="1" t="s">
        <v>51</v>
      </c>
      <c r="E24" s="1" t="s">
        <v>49</v>
      </c>
      <c r="F24" s="1">
        <v>10</v>
      </c>
      <c r="G24" s="1">
        <v>0.1875</v>
      </c>
      <c r="H24" s="1" t="s">
        <v>18</v>
      </c>
      <c r="I24" s="35" t="s">
        <v>100</v>
      </c>
      <c r="J24" s="37" t="s">
        <v>101</v>
      </c>
      <c r="L24" s="17">
        <v>15</v>
      </c>
      <c r="M24" s="18">
        <v>4000</v>
      </c>
      <c r="N24" s="18">
        <f t="shared" si="0"/>
        <v>60000</v>
      </c>
      <c r="O24" s="18">
        <f t="shared" si="1"/>
        <v>6000</v>
      </c>
    </row>
    <row r="25" spans="2:15" x14ac:dyDescent="0.2">
      <c r="B25" s="1" t="s">
        <v>91</v>
      </c>
      <c r="C25" s="1" t="s">
        <v>47</v>
      </c>
      <c r="D25" s="1" t="s">
        <v>52</v>
      </c>
      <c r="E25" s="1" t="s">
        <v>49</v>
      </c>
      <c r="F25" s="1">
        <v>10</v>
      </c>
      <c r="G25" s="1">
        <v>0.1875</v>
      </c>
      <c r="H25" s="35" t="s">
        <v>15</v>
      </c>
      <c r="K25" s="13">
        <v>46501</v>
      </c>
      <c r="L25" s="17">
        <v>15</v>
      </c>
      <c r="M25" s="18">
        <v>4000</v>
      </c>
      <c r="N25" s="18">
        <f t="shared" si="0"/>
        <v>60000</v>
      </c>
      <c r="O25" s="18">
        <f t="shared" si="1"/>
        <v>6000</v>
      </c>
    </row>
    <row r="26" spans="2:15" ht="85" x14ac:dyDescent="0.2">
      <c r="B26" s="1" t="s">
        <v>90</v>
      </c>
      <c r="C26" s="1" t="s">
        <v>47</v>
      </c>
      <c r="D26" s="1" t="s">
        <v>53</v>
      </c>
      <c r="E26" s="1" t="s">
        <v>54</v>
      </c>
      <c r="F26" s="1">
        <v>45</v>
      </c>
      <c r="G26" s="1">
        <v>0.2</v>
      </c>
      <c r="H26" s="35" t="s">
        <v>15</v>
      </c>
      <c r="I26" s="35" t="s">
        <v>50</v>
      </c>
      <c r="J26" s="37" t="s">
        <v>102</v>
      </c>
      <c r="K26" s="13">
        <v>46876</v>
      </c>
      <c r="L26" s="17">
        <v>72</v>
      </c>
      <c r="M26" s="18">
        <v>4000</v>
      </c>
      <c r="N26" s="18">
        <f t="shared" si="0"/>
        <v>288000</v>
      </c>
      <c r="O26" s="18">
        <f t="shared" si="1"/>
        <v>6400</v>
      </c>
    </row>
    <row r="27" spans="2:15" x14ac:dyDescent="0.2">
      <c r="B27" s="1" t="s">
        <v>92</v>
      </c>
      <c r="C27" s="1" t="s">
        <v>55</v>
      </c>
      <c r="D27" s="19" t="s">
        <v>56</v>
      </c>
      <c r="E27" s="1" t="s">
        <v>57</v>
      </c>
      <c r="F27" s="20">
        <v>1</v>
      </c>
      <c r="G27" s="21">
        <v>0.125</v>
      </c>
      <c r="H27" s="1" t="s">
        <v>18</v>
      </c>
      <c r="L27" s="20">
        <v>1</v>
      </c>
      <c r="M27" s="18">
        <v>2000</v>
      </c>
      <c r="N27" s="18">
        <f t="shared" si="0"/>
        <v>2000</v>
      </c>
      <c r="O27" s="18">
        <f t="shared" si="1"/>
        <v>2000</v>
      </c>
    </row>
    <row r="28" spans="2:15" x14ac:dyDescent="0.2">
      <c r="B28" s="1" t="s">
        <v>92</v>
      </c>
      <c r="C28" s="1" t="s">
        <v>55</v>
      </c>
      <c r="D28" s="19" t="s">
        <v>58</v>
      </c>
      <c r="E28" s="1" t="s">
        <v>57</v>
      </c>
      <c r="F28" s="20">
        <v>1.25</v>
      </c>
      <c r="G28" s="21">
        <v>0.125</v>
      </c>
      <c r="H28" s="1" t="s">
        <v>18</v>
      </c>
      <c r="L28" s="20">
        <v>1.25</v>
      </c>
      <c r="M28" s="18">
        <v>2000</v>
      </c>
      <c r="N28" s="18">
        <f t="shared" si="0"/>
        <v>2500</v>
      </c>
      <c r="O28" s="18">
        <f t="shared" si="1"/>
        <v>2000</v>
      </c>
    </row>
    <row r="29" spans="2:15" x14ac:dyDescent="0.2">
      <c r="B29" s="1" t="s">
        <v>92</v>
      </c>
      <c r="C29" s="1" t="s">
        <v>55</v>
      </c>
      <c r="D29" s="19" t="s">
        <v>59</v>
      </c>
      <c r="E29" s="1" t="s">
        <v>57</v>
      </c>
      <c r="F29" s="20">
        <v>4</v>
      </c>
      <c r="G29" s="21">
        <v>0.1875</v>
      </c>
      <c r="H29" s="1" t="s">
        <v>18</v>
      </c>
      <c r="L29" s="20">
        <v>6</v>
      </c>
      <c r="M29" s="18">
        <v>2000</v>
      </c>
      <c r="N29" s="18">
        <f t="shared" si="0"/>
        <v>12000</v>
      </c>
      <c r="O29" s="18">
        <f t="shared" si="1"/>
        <v>3000</v>
      </c>
    </row>
    <row r="30" spans="2:15" x14ac:dyDescent="0.2">
      <c r="B30" s="1" t="s">
        <v>92</v>
      </c>
      <c r="C30" s="1" t="s">
        <v>55</v>
      </c>
      <c r="D30" s="19" t="s">
        <v>60</v>
      </c>
      <c r="E30" s="1" t="s">
        <v>61</v>
      </c>
      <c r="F30" s="20">
        <v>3</v>
      </c>
      <c r="G30" s="21">
        <v>0.1875</v>
      </c>
      <c r="H30" s="1" t="s">
        <v>18</v>
      </c>
      <c r="L30" s="20">
        <v>4.5</v>
      </c>
      <c r="M30" s="18">
        <v>2000</v>
      </c>
      <c r="N30" s="18">
        <f t="shared" si="0"/>
        <v>9000</v>
      </c>
      <c r="O30" s="18">
        <f t="shared" si="1"/>
        <v>3000</v>
      </c>
    </row>
    <row r="31" spans="2:15" x14ac:dyDescent="0.2">
      <c r="B31" s="1" t="s">
        <v>92</v>
      </c>
      <c r="C31" s="1" t="s">
        <v>55</v>
      </c>
      <c r="D31" s="19" t="s">
        <v>62</v>
      </c>
      <c r="E31" s="1" t="s">
        <v>63</v>
      </c>
      <c r="F31" s="20">
        <v>2</v>
      </c>
      <c r="G31" s="21">
        <v>0.1875</v>
      </c>
      <c r="H31" s="1" t="s">
        <v>18</v>
      </c>
      <c r="L31" s="20">
        <v>3</v>
      </c>
      <c r="M31" s="18">
        <v>2000</v>
      </c>
      <c r="N31" s="18">
        <f t="shared" si="0"/>
        <v>6000</v>
      </c>
      <c r="O31" s="18">
        <f t="shared" si="1"/>
        <v>3000</v>
      </c>
    </row>
    <row r="32" spans="2:15" x14ac:dyDescent="0.2">
      <c r="B32" s="1" t="s">
        <v>92</v>
      </c>
      <c r="C32" s="1" t="s">
        <v>55</v>
      </c>
      <c r="D32" s="19" t="s">
        <v>64</v>
      </c>
      <c r="E32" s="1" t="s">
        <v>63</v>
      </c>
      <c r="F32" s="20">
        <v>1</v>
      </c>
      <c r="G32" s="21">
        <v>0.1875</v>
      </c>
      <c r="H32" s="1" t="s">
        <v>18</v>
      </c>
      <c r="L32" s="20">
        <v>1.5</v>
      </c>
      <c r="M32" s="18">
        <v>2000</v>
      </c>
      <c r="N32" s="18">
        <f t="shared" si="0"/>
        <v>3000</v>
      </c>
      <c r="O32" s="18">
        <f t="shared" si="1"/>
        <v>3000</v>
      </c>
    </row>
    <row r="33" spans="2:15" x14ac:dyDescent="0.2">
      <c r="B33" s="1" t="s">
        <v>92</v>
      </c>
      <c r="C33" s="1" t="s">
        <v>55</v>
      </c>
      <c r="D33" s="19" t="s">
        <v>65</v>
      </c>
      <c r="E33" s="1" t="s">
        <v>63</v>
      </c>
      <c r="F33" s="20">
        <v>5</v>
      </c>
      <c r="G33" s="21">
        <v>0.25</v>
      </c>
      <c r="H33" s="1" t="s">
        <v>18</v>
      </c>
      <c r="L33" s="20">
        <v>10</v>
      </c>
      <c r="M33" s="18">
        <v>2000</v>
      </c>
      <c r="N33" s="18">
        <f t="shared" si="0"/>
        <v>20000</v>
      </c>
      <c r="O33" s="18">
        <f t="shared" si="1"/>
        <v>4000</v>
      </c>
    </row>
    <row r="34" spans="2:15" x14ac:dyDescent="0.2">
      <c r="B34" s="1" t="s">
        <v>92</v>
      </c>
      <c r="C34" s="1" t="s">
        <v>55</v>
      </c>
      <c r="D34" s="19" t="s">
        <v>66</v>
      </c>
      <c r="E34" s="1" t="s">
        <v>63</v>
      </c>
      <c r="F34" s="20">
        <v>3.5</v>
      </c>
      <c r="G34" s="21">
        <v>0.1875</v>
      </c>
      <c r="H34" s="1" t="s">
        <v>18</v>
      </c>
      <c r="L34" s="20">
        <v>5.25</v>
      </c>
      <c r="M34" s="18">
        <v>2000</v>
      </c>
      <c r="N34" s="18">
        <f t="shared" si="0"/>
        <v>10500</v>
      </c>
      <c r="O34" s="18">
        <f t="shared" si="1"/>
        <v>3000</v>
      </c>
    </row>
    <row r="35" spans="2:15" x14ac:dyDescent="0.2">
      <c r="B35" s="1" t="s">
        <v>92</v>
      </c>
      <c r="C35" s="1" t="s">
        <v>55</v>
      </c>
      <c r="D35" s="19" t="s">
        <v>67</v>
      </c>
      <c r="E35" s="1" t="s">
        <v>63</v>
      </c>
      <c r="F35" s="20">
        <v>2</v>
      </c>
      <c r="G35" s="21">
        <v>0.125</v>
      </c>
      <c r="H35" s="1" t="s">
        <v>18</v>
      </c>
      <c r="L35" s="20">
        <v>2</v>
      </c>
      <c r="M35" s="18">
        <v>2000</v>
      </c>
      <c r="N35" s="18">
        <f t="shared" si="0"/>
        <v>4000</v>
      </c>
      <c r="O35" s="18">
        <f t="shared" si="1"/>
        <v>2000</v>
      </c>
    </row>
    <row r="36" spans="2:15" x14ac:dyDescent="0.2">
      <c r="B36" s="1" t="s">
        <v>92</v>
      </c>
      <c r="C36" s="1" t="s">
        <v>55</v>
      </c>
      <c r="D36" s="19" t="s">
        <v>68</v>
      </c>
      <c r="E36" s="1" t="s">
        <v>63</v>
      </c>
      <c r="F36" s="20">
        <v>1</v>
      </c>
      <c r="G36" s="21">
        <v>0.125</v>
      </c>
      <c r="H36" s="1" t="s">
        <v>18</v>
      </c>
      <c r="L36" s="20">
        <v>1</v>
      </c>
      <c r="M36" s="18">
        <v>2000</v>
      </c>
      <c r="N36" s="18">
        <f t="shared" si="0"/>
        <v>2000</v>
      </c>
      <c r="O36" s="18">
        <f t="shared" si="1"/>
        <v>2000</v>
      </c>
    </row>
    <row r="37" spans="2:15" x14ac:dyDescent="0.2">
      <c r="B37" s="1" t="s">
        <v>92</v>
      </c>
      <c r="C37" s="1" t="s">
        <v>55</v>
      </c>
      <c r="D37" s="19" t="s">
        <v>69</v>
      </c>
      <c r="E37" s="1" t="s">
        <v>63</v>
      </c>
      <c r="F37" s="20">
        <v>5</v>
      </c>
      <c r="G37" s="21">
        <v>0.25</v>
      </c>
      <c r="H37" s="1" t="s">
        <v>18</v>
      </c>
      <c r="L37" s="20">
        <v>10</v>
      </c>
      <c r="M37" s="18">
        <v>2000</v>
      </c>
      <c r="N37" s="18">
        <f t="shared" si="0"/>
        <v>20000</v>
      </c>
      <c r="O37" s="18">
        <f t="shared" si="1"/>
        <v>4000</v>
      </c>
    </row>
    <row r="38" spans="2:15" x14ac:dyDescent="0.2">
      <c r="B38" s="1" t="s">
        <v>92</v>
      </c>
      <c r="C38" s="1" t="s">
        <v>55</v>
      </c>
      <c r="D38" s="19" t="s">
        <v>70</v>
      </c>
      <c r="E38" s="1" t="s">
        <v>71</v>
      </c>
      <c r="F38" s="20">
        <v>2</v>
      </c>
      <c r="G38" s="21">
        <v>0.1875</v>
      </c>
      <c r="H38" s="1" t="s">
        <v>18</v>
      </c>
      <c r="L38" s="20">
        <v>3</v>
      </c>
      <c r="M38" s="18">
        <v>2000</v>
      </c>
      <c r="N38" s="18">
        <f t="shared" si="0"/>
        <v>6000</v>
      </c>
      <c r="O38" s="18">
        <f t="shared" si="1"/>
        <v>3000</v>
      </c>
    </row>
    <row r="39" spans="2:15" x14ac:dyDescent="0.2">
      <c r="B39" s="1" t="s">
        <v>92</v>
      </c>
      <c r="C39" s="1" t="s">
        <v>55</v>
      </c>
      <c r="D39" s="19" t="s">
        <v>72</v>
      </c>
      <c r="E39" s="1" t="s">
        <v>71</v>
      </c>
      <c r="F39" s="20">
        <v>2</v>
      </c>
      <c r="G39" s="21">
        <v>0.1875</v>
      </c>
      <c r="H39" s="1" t="s">
        <v>18</v>
      </c>
      <c r="L39" s="20">
        <v>3</v>
      </c>
      <c r="M39" s="18">
        <v>2000</v>
      </c>
      <c r="N39" s="18">
        <f t="shared" si="0"/>
        <v>6000</v>
      </c>
      <c r="O39" s="18">
        <f t="shared" si="1"/>
        <v>3000</v>
      </c>
    </row>
    <row r="40" spans="2:15" x14ac:dyDescent="0.2">
      <c r="B40" s="1" t="s">
        <v>92</v>
      </c>
      <c r="C40" s="1" t="s">
        <v>55</v>
      </c>
      <c r="D40" s="19" t="s">
        <v>73</v>
      </c>
      <c r="E40" s="1" t="s">
        <v>71</v>
      </c>
      <c r="F40" s="20">
        <v>2.4</v>
      </c>
      <c r="G40" s="21">
        <v>0.1875</v>
      </c>
      <c r="H40" s="1" t="s">
        <v>18</v>
      </c>
      <c r="L40" s="20">
        <v>3.6</v>
      </c>
      <c r="M40" s="18">
        <v>2000</v>
      </c>
      <c r="N40" s="18">
        <f t="shared" si="0"/>
        <v>7200</v>
      </c>
      <c r="O40" s="18">
        <f t="shared" si="1"/>
        <v>3000</v>
      </c>
    </row>
    <row r="41" spans="2:15" x14ac:dyDescent="0.2">
      <c r="D41" s="19"/>
    </row>
    <row r="42" spans="2:15" x14ac:dyDescent="0.2">
      <c r="D42" s="19"/>
    </row>
    <row r="43" spans="2:15" x14ac:dyDescent="0.2">
      <c r="D43" s="19"/>
    </row>
    <row r="44" spans="2:15" ht="17" thickBot="1" x14ac:dyDescent="0.25">
      <c r="D44" s="21"/>
    </row>
    <row r="45" spans="2:15" ht="17" thickBot="1" x14ac:dyDescent="0.25">
      <c r="C45" s="1" t="s">
        <v>0</v>
      </c>
      <c r="D45" s="22" t="s">
        <v>2</v>
      </c>
      <c r="E45" s="5" t="s">
        <v>8</v>
      </c>
      <c r="F45" s="5" t="s">
        <v>74</v>
      </c>
      <c r="G45" s="5" t="s">
        <v>75</v>
      </c>
      <c r="I45" s="5" t="s">
        <v>93</v>
      </c>
      <c r="J45" s="7"/>
    </row>
    <row r="46" spans="2:15" ht="17" thickBot="1" x14ac:dyDescent="0.25">
      <c r="C46" s="1" t="s">
        <v>91</v>
      </c>
      <c r="D46" s="23" t="s">
        <v>36</v>
      </c>
      <c r="E46" s="15">
        <v>3</v>
      </c>
      <c r="F46" s="13">
        <v>45640</v>
      </c>
      <c r="G46" s="13">
        <v>46735</v>
      </c>
      <c r="K46" s="24">
        <f>SUM(E46:E88)</f>
        <v>58.66067000000001</v>
      </c>
    </row>
    <row r="47" spans="2:15" ht="103" thickBot="1" x14ac:dyDescent="0.25">
      <c r="C47" s="1" t="s">
        <v>91</v>
      </c>
      <c r="D47" s="25" t="s">
        <v>76</v>
      </c>
      <c r="E47" s="15">
        <v>0.65</v>
      </c>
      <c r="F47" s="13">
        <v>45640</v>
      </c>
      <c r="G47" s="13">
        <v>46735</v>
      </c>
      <c r="I47" s="35" t="s">
        <v>94</v>
      </c>
      <c r="J47" s="37" t="s">
        <v>103</v>
      </c>
      <c r="K47" s="26">
        <v>1500</v>
      </c>
    </row>
    <row r="48" spans="2:15" ht="17" thickBot="1" x14ac:dyDescent="0.25">
      <c r="C48" s="1" t="s">
        <v>91</v>
      </c>
      <c r="D48" s="25" t="s">
        <v>77</v>
      </c>
      <c r="E48" s="15">
        <v>0.5</v>
      </c>
      <c r="F48" s="13">
        <v>45633</v>
      </c>
      <c r="G48" s="13">
        <v>46728</v>
      </c>
      <c r="K48" s="27">
        <f>K47*K46</f>
        <v>87991.005000000019</v>
      </c>
    </row>
    <row r="49" spans="3:7" x14ac:dyDescent="0.2">
      <c r="C49" s="1" t="s">
        <v>91</v>
      </c>
      <c r="D49" s="25" t="s">
        <v>31</v>
      </c>
      <c r="E49" s="15">
        <v>0.5</v>
      </c>
      <c r="F49" s="13">
        <v>45658</v>
      </c>
      <c r="G49" s="13">
        <v>46753</v>
      </c>
    </row>
    <row r="50" spans="3:7" x14ac:dyDescent="0.2">
      <c r="C50" s="1" t="s">
        <v>91</v>
      </c>
      <c r="D50" s="25" t="s">
        <v>36</v>
      </c>
      <c r="E50" s="15">
        <v>0.75</v>
      </c>
      <c r="F50" s="13">
        <v>45646</v>
      </c>
      <c r="G50" s="13">
        <v>46741</v>
      </c>
    </row>
    <row r="51" spans="3:7" x14ac:dyDescent="0.2">
      <c r="C51" s="1" t="s">
        <v>91</v>
      </c>
      <c r="D51" s="25" t="s">
        <v>37</v>
      </c>
      <c r="E51" s="15">
        <v>0.1666</v>
      </c>
      <c r="F51" s="13">
        <v>45646</v>
      </c>
      <c r="G51" s="13">
        <v>46741</v>
      </c>
    </row>
    <row r="52" spans="3:7" x14ac:dyDescent="0.2">
      <c r="C52" s="1" t="s">
        <v>91</v>
      </c>
      <c r="D52" s="28" t="s">
        <v>36</v>
      </c>
      <c r="E52" s="15">
        <v>0.75</v>
      </c>
      <c r="F52" s="13">
        <v>45646</v>
      </c>
      <c r="G52" s="13">
        <v>46741</v>
      </c>
    </row>
    <row r="53" spans="3:7" x14ac:dyDescent="0.2">
      <c r="C53" s="1" t="s">
        <v>91</v>
      </c>
      <c r="D53" s="28" t="s">
        <v>37</v>
      </c>
      <c r="E53" s="15">
        <v>0.16670000000000001</v>
      </c>
      <c r="F53" s="13">
        <v>45646</v>
      </c>
      <c r="G53" s="13">
        <v>46741</v>
      </c>
    </row>
    <row r="54" spans="3:7" x14ac:dyDescent="0.2">
      <c r="C54" s="1" t="s">
        <v>91</v>
      </c>
      <c r="D54" s="28" t="s">
        <v>36</v>
      </c>
      <c r="E54" s="15">
        <v>0.75</v>
      </c>
      <c r="F54" s="13">
        <v>45646</v>
      </c>
      <c r="G54" s="13">
        <v>46741</v>
      </c>
    </row>
    <row r="55" spans="3:7" x14ac:dyDescent="0.2">
      <c r="C55" s="1" t="s">
        <v>91</v>
      </c>
      <c r="D55" s="25" t="s">
        <v>37</v>
      </c>
      <c r="E55" s="15">
        <v>0.16670000000000001</v>
      </c>
      <c r="F55" s="13">
        <v>45646</v>
      </c>
      <c r="G55" s="13">
        <v>46741</v>
      </c>
    </row>
    <row r="56" spans="3:7" x14ac:dyDescent="0.2">
      <c r="C56" s="1" t="s">
        <v>91</v>
      </c>
      <c r="D56" s="25" t="s">
        <v>36</v>
      </c>
      <c r="E56" s="15">
        <v>11.25</v>
      </c>
      <c r="F56" s="13">
        <v>45656</v>
      </c>
      <c r="G56" s="13">
        <v>46751</v>
      </c>
    </row>
    <row r="57" spans="3:7" x14ac:dyDescent="0.2">
      <c r="C57" s="1" t="s">
        <v>91</v>
      </c>
      <c r="D57" s="25" t="s">
        <v>37</v>
      </c>
      <c r="E57" s="15">
        <v>8.75</v>
      </c>
      <c r="F57" s="13">
        <v>45656</v>
      </c>
      <c r="G57" s="13">
        <v>46751</v>
      </c>
    </row>
    <row r="58" spans="3:7" x14ac:dyDescent="0.2">
      <c r="C58" s="1" t="s">
        <v>91</v>
      </c>
      <c r="D58" s="25" t="s">
        <v>31</v>
      </c>
      <c r="E58" s="15">
        <v>4</v>
      </c>
      <c r="F58" s="13">
        <v>45663</v>
      </c>
      <c r="G58" s="13">
        <v>46758</v>
      </c>
    </row>
    <row r="59" spans="3:7" x14ac:dyDescent="0.2">
      <c r="C59" s="1" t="s">
        <v>91</v>
      </c>
      <c r="D59" s="28" t="s">
        <v>31</v>
      </c>
      <c r="E59" s="15">
        <v>0.33334000000000003</v>
      </c>
      <c r="F59" s="13">
        <v>45663</v>
      </c>
      <c r="G59" s="13">
        <v>46758</v>
      </c>
    </row>
    <row r="60" spans="3:7" x14ac:dyDescent="0.2">
      <c r="C60" s="1" t="s">
        <v>91</v>
      </c>
      <c r="D60" s="28" t="s">
        <v>31</v>
      </c>
      <c r="E60" s="15">
        <v>0.33334000000000003</v>
      </c>
      <c r="F60" s="13">
        <v>45663</v>
      </c>
      <c r="G60" s="13">
        <v>46758</v>
      </c>
    </row>
    <row r="61" spans="3:7" x14ac:dyDescent="0.2">
      <c r="C61" s="1" t="s">
        <v>91</v>
      </c>
      <c r="D61" s="28" t="s">
        <v>31</v>
      </c>
      <c r="E61" s="15">
        <v>0.33334000000000003</v>
      </c>
      <c r="F61" s="13">
        <v>45663</v>
      </c>
      <c r="G61" s="13">
        <v>46758</v>
      </c>
    </row>
    <row r="62" spans="3:7" x14ac:dyDescent="0.2">
      <c r="C62" s="1" t="s">
        <v>91</v>
      </c>
      <c r="D62" s="28" t="s">
        <v>31</v>
      </c>
      <c r="E62" s="15">
        <v>0.33334000000000003</v>
      </c>
      <c r="F62" s="13">
        <v>45663</v>
      </c>
      <c r="G62" s="13">
        <v>46758</v>
      </c>
    </row>
    <row r="63" spans="3:7" x14ac:dyDescent="0.2">
      <c r="C63" s="1" t="s">
        <v>91</v>
      </c>
      <c r="D63" s="28" t="s">
        <v>36</v>
      </c>
      <c r="E63" s="15">
        <v>0.5625</v>
      </c>
      <c r="F63" s="13">
        <v>45677</v>
      </c>
      <c r="G63" s="13">
        <v>46772</v>
      </c>
    </row>
    <row r="64" spans="3:7" x14ac:dyDescent="0.2">
      <c r="C64" s="1" t="s">
        <v>91</v>
      </c>
      <c r="D64" s="28" t="s">
        <v>37</v>
      </c>
      <c r="E64" s="15">
        <v>0.4375</v>
      </c>
      <c r="F64" s="13">
        <v>45677</v>
      </c>
      <c r="G64" s="13">
        <v>46772</v>
      </c>
    </row>
    <row r="65" spans="3:10" x14ac:dyDescent="0.2">
      <c r="C65" s="1" t="s">
        <v>91</v>
      </c>
      <c r="D65" s="28" t="s">
        <v>31</v>
      </c>
      <c r="E65" s="15">
        <v>0.85000000000000009</v>
      </c>
      <c r="F65" s="13">
        <v>45677</v>
      </c>
      <c r="G65" s="13">
        <v>46772</v>
      </c>
    </row>
    <row r="66" spans="3:10" x14ac:dyDescent="0.2">
      <c r="C66" s="1" t="s">
        <v>91</v>
      </c>
      <c r="D66" s="28" t="s">
        <v>36</v>
      </c>
      <c r="E66" s="15">
        <v>0.66666999999999998</v>
      </c>
      <c r="F66" s="13">
        <v>45688</v>
      </c>
      <c r="G66" s="13">
        <v>46783</v>
      </c>
    </row>
    <row r="67" spans="3:10" x14ac:dyDescent="0.2">
      <c r="C67" s="1" t="s">
        <v>91</v>
      </c>
      <c r="D67" s="28" t="s">
        <v>37</v>
      </c>
      <c r="E67" s="15">
        <v>1</v>
      </c>
      <c r="F67" s="13">
        <v>45688</v>
      </c>
      <c r="G67" s="13">
        <v>46783</v>
      </c>
    </row>
    <row r="68" spans="3:10" x14ac:dyDescent="0.2">
      <c r="C68" s="1" t="s">
        <v>91</v>
      </c>
      <c r="D68" s="28" t="s">
        <v>36</v>
      </c>
      <c r="E68" s="15">
        <v>0.66666999999999998</v>
      </c>
      <c r="F68" s="13">
        <v>45688</v>
      </c>
      <c r="G68" s="13">
        <v>46783</v>
      </c>
    </row>
    <row r="69" spans="3:10" x14ac:dyDescent="0.2">
      <c r="C69" s="1" t="s">
        <v>91</v>
      </c>
      <c r="D69" s="25" t="s">
        <v>37</v>
      </c>
      <c r="E69" s="15">
        <v>1</v>
      </c>
      <c r="F69" s="13">
        <v>45688</v>
      </c>
      <c r="G69" s="13">
        <v>46783</v>
      </c>
    </row>
    <row r="70" spans="3:10" x14ac:dyDescent="0.2">
      <c r="C70" s="1" t="s">
        <v>91</v>
      </c>
      <c r="D70" s="28" t="s">
        <v>36</v>
      </c>
      <c r="E70" s="15">
        <v>0.66666999999999998</v>
      </c>
      <c r="F70" s="13">
        <v>45688</v>
      </c>
      <c r="G70" s="13">
        <v>46783</v>
      </c>
    </row>
    <row r="71" spans="3:10" x14ac:dyDescent="0.2">
      <c r="C71" s="1" t="s">
        <v>91</v>
      </c>
      <c r="D71" s="28" t="s">
        <v>37</v>
      </c>
      <c r="E71" s="15">
        <v>1</v>
      </c>
      <c r="F71" s="13">
        <v>45688</v>
      </c>
      <c r="G71" s="13">
        <v>46783</v>
      </c>
    </row>
    <row r="72" spans="3:10" x14ac:dyDescent="0.2">
      <c r="C72" s="1" t="s">
        <v>91</v>
      </c>
      <c r="D72" s="28" t="s">
        <v>36</v>
      </c>
      <c r="E72" s="15">
        <v>0.46250000000000002</v>
      </c>
      <c r="F72" s="13">
        <v>45689</v>
      </c>
      <c r="G72" s="13">
        <v>46784</v>
      </c>
    </row>
    <row r="73" spans="3:10" x14ac:dyDescent="0.2">
      <c r="C73" s="1" t="s">
        <v>91</v>
      </c>
      <c r="D73" s="28" t="s">
        <v>36</v>
      </c>
      <c r="E73" s="15">
        <v>0.66666999999999998</v>
      </c>
      <c r="F73" s="13">
        <v>45688</v>
      </c>
      <c r="G73" s="13">
        <v>46783</v>
      </c>
    </row>
    <row r="74" spans="3:10" x14ac:dyDescent="0.2">
      <c r="C74" s="1" t="s">
        <v>91</v>
      </c>
      <c r="D74" s="28" t="s">
        <v>37</v>
      </c>
      <c r="E74" s="15">
        <v>1</v>
      </c>
      <c r="F74" s="13">
        <v>45688</v>
      </c>
      <c r="G74" s="13">
        <v>46783</v>
      </c>
    </row>
    <row r="75" spans="3:10" ht="102" x14ac:dyDescent="0.2">
      <c r="C75" s="1" t="s">
        <v>91</v>
      </c>
      <c r="D75" s="28" t="s">
        <v>76</v>
      </c>
      <c r="E75" s="15">
        <v>1</v>
      </c>
      <c r="F75" s="13">
        <v>45709</v>
      </c>
      <c r="G75" s="13">
        <v>46804</v>
      </c>
      <c r="I75" s="1" t="s">
        <v>94</v>
      </c>
      <c r="J75" s="37" t="s">
        <v>103</v>
      </c>
    </row>
    <row r="76" spans="3:10" ht="102" x14ac:dyDescent="0.2">
      <c r="C76" s="1" t="s">
        <v>91</v>
      </c>
      <c r="D76" s="28" t="s">
        <v>76</v>
      </c>
      <c r="E76" s="15">
        <v>1</v>
      </c>
      <c r="F76" s="13">
        <v>45709</v>
      </c>
      <c r="G76" s="13">
        <v>46804</v>
      </c>
      <c r="I76" s="1" t="s">
        <v>94</v>
      </c>
      <c r="J76" s="37" t="s">
        <v>103</v>
      </c>
    </row>
    <row r="77" spans="3:10" ht="102" x14ac:dyDescent="0.2">
      <c r="C77" s="1" t="s">
        <v>91</v>
      </c>
      <c r="D77" s="28" t="s">
        <v>76</v>
      </c>
      <c r="E77" s="15">
        <v>0.5</v>
      </c>
      <c r="F77" s="13">
        <v>45709</v>
      </c>
      <c r="G77" s="13">
        <v>46804</v>
      </c>
      <c r="I77" s="1" t="s">
        <v>94</v>
      </c>
      <c r="J77" s="37" t="s">
        <v>103</v>
      </c>
    </row>
    <row r="78" spans="3:10" ht="102" x14ac:dyDescent="0.2">
      <c r="C78" s="1" t="s">
        <v>91</v>
      </c>
      <c r="D78" s="28" t="s">
        <v>76</v>
      </c>
      <c r="E78" s="15">
        <v>0.5</v>
      </c>
      <c r="F78" s="13">
        <v>45709</v>
      </c>
      <c r="G78" s="13">
        <v>46804</v>
      </c>
      <c r="I78" s="1" t="s">
        <v>94</v>
      </c>
      <c r="J78" s="37" t="s">
        <v>103</v>
      </c>
    </row>
    <row r="79" spans="3:10" ht="102" x14ac:dyDescent="0.2">
      <c r="C79" s="1" t="s">
        <v>91</v>
      </c>
      <c r="D79" s="28" t="s">
        <v>76</v>
      </c>
      <c r="E79" s="15">
        <v>0.5</v>
      </c>
      <c r="F79" s="13">
        <v>45709</v>
      </c>
      <c r="G79" s="13">
        <v>46804</v>
      </c>
      <c r="I79" s="1" t="s">
        <v>94</v>
      </c>
      <c r="J79" s="37" t="s">
        <v>103</v>
      </c>
    </row>
    <row r="80" spans="3:10" ht="102" x14ac:dyDescent="0.2">
      <c r="C80" s="1" t="s">
        <v>91</v>
      </c>
      <c r="D80" s="28" t="s">
        <v>76</v>
      </c>
      <c r="E80" s="15">
        <v>0.5</v>
      </c>
      <c r="F80" s="13">
        <v>45709</v>
      </c>
      <c r="G80" s="13">
        <v>46804</v>
      </c>
      <c r="I80" s="1" t="s">
        <v>94</v>
      </c>
      <c r="J80" s="37" t="s">
        <v>103</v>
      </c>
    </row>
    <row r="81" spans="3:11" x14ac:dyDescent="0.2">
      <c r="C81" s="1" t="s">
        <v>91</v>
      </c>
      <c r="D81" s="28" t="s">
        <v>31</v>
      </c>
      <c r="E81" s="15">
        <v>1.5</v>
      </c>
      <c r="F81" s="13">
        <v>45709</v>
      </c>
      <c r="G81" s="13">
        <v>46804</v>
      </c>
    </row>
    <row r="82" spans="3:11" x14ac:dyDescent="0.2">
      <c r="C82" s="1" t="s">
        <v>91</v>
      </c>
      <c r="D82" s="28" t="s">
        <v>36</v>
      </c>
      <c r="E82" s="15">
        <v>2.25</v>
      </c>
      <c r="F82" s="13">
        <v>45709</v>
      </c>
      <c r="G82" s="13">
        <v>46804</v>
      </c>
    </row>
    <row r="83" spans="3:11" x14ac:dyDescent="0.2">
      <c r="C83" s="1" t="s">
        <v>91</v>
      </c>
      <c r="D83" s="29" t="s">
        <v>37</v>
      </c>
      <c r="E83" s="15">
        <v>1.75</v>
      </c>
      <c r="F83" s="13">
        <v>45709</v>
      </c>
      <c r="G83" s="13">
        <v>46804</v>
      </c>
    </row>
    <row r="84" spans="3:11" x14ac:dyDescent="0.2">
      <c r="C84" s="1" t="s">
        <v>91</v>
      </c>
      <c r="D84" s="29" t="s">
        <v>37</v>
      </c>
      <c r="E84" s="15">
        <v>1.5</v>
      </c>
      <c r="F84" s="13">
        <v>45707</v>
      </c>
      <c r="G84" s="13">
        <v>46802</v>
      </c>
    </row>
    <row r="85" spans="3:11" x14ac:dyDescent="0.2">
      <c r="C85" s="1" t="s">
        <v>91</v>
      </c>
      <c r="D85" s="30" t="s">
        <v>37</v>
      </c>
      <c r="E85" s="1">
        <v>1.5</v>
      </c>
      <c r="F85" s="13">
        <v>45707</v>
      </c>
      <c r="G85" s="13">
        <v>46802</v>
      </c>
    </row>
    <row r="86" spans="3:11" x14ac:dyDescent="0.2">
      <c r="C86" s="1" t="s">
        <v>91</v>
      </c>
      <c r="D86" s="30" t="s">
        <v>37</v>
      </c>
      <c r="E86" s="1">
        <v>1.5</v>
      </c>
      <c r="F86" s="13">
        <v>45707</v>
      </c>
      <c r="G86" s="13">
        <v>46802</v>
      </c>
    </row>
    <row r="87" spans="3:11" x14ac:dyDescent="0.2">
      <c r="C87" s="1" t="s">
        <v>91</v>
      </c>
      <c r="D87" s="30" t="s">
        <v>78</v>
      </c>
      <c r="E87" s="1">
        <v>2.2285699999999999</v>
      </c>
      <c r="F87" s="13">
        <v>45714</v>
      </c>
      <c r="G87" s="13">
        <v>46809</v>
      </c>
    </row>
    <row r="88" spans="3:11" x14ac:dyDescent="0.2">
      <c r="C88" s="1" t="s">
        <v>91</v>
      </c>
      <c r="D88" s="30" t="s">
        <v>78</v>
      </c>
      <c r="E88" s="1">
        <v>0.71955999999999998</v>
      </c>
      <c r="F88" s="13">
        <v>45733</v>
      </c>
      <c r="G88" s="13">
        <v>46829</v>
      </c>
    </row>
    <row r="89" spans="3:11" x14ac:dyDescent="0.2">
      <c r="C89" s="1" t="s">
        <v>90</v>
      </c>
      <c r="D89" s="31" t="s">
        <v>79</v>
      </c>
      <c r="E89" s="1">
        <v>2.4193209599999994</v>
      </c>
      <c r="F89" s="7" t="s">
        <v>18</v>
      </c>
      <c r="G89" s="7" t="s">
        <v>18</v>
      </c>
    </row>
    <row r="90" spans="3:11" ht="17" thickBot="1" x14ac:dyDescent="0.25">
      <c r="C90" s="1" t="s">
        <v>90</v>
      </c>
      <c r="D90" s="31" t="s">
        <v>80</v>
      </c>
      <c r="E90" s="1">
        <v>4.110404976639999</v>
      </c>
      <c r="F90" s="7" t="s">
        <v>18</v>
      </c>
      <c r="G90" s="7" t="s">
        <v>18</v>
      </c>
    </row>
    <row r="91" spans="3:11" ht="17" thickBot="1" x14ac:dyDescent="0.25">
      <c r="C91" s="1" t="s">
        <v>90</v>
      </c>
      <c r="D91" s="31" t="s">
        <v>81</v>
      </c>
      <c r="E91" s="1">
        <v>1.6912205567999998</v>
      </c>
      <c r="F91" s="7" t="s">
        <v>18</v>
      </c>
      <c r="G91" s="7" t="s">
        <v>18</v>
      </c>
      <c r="K91" s="32">
        <f>SUM(E89:E97)</f>
        <v>24.078276920319993</v>
      </c>
    </row>
    <row r="92" spans="3:11" ht="17" thickBot="1" x14ac:dyDescent="0.25">
      <c r="C92" s="1" t="s">
        <v>90</v>
      </c>
      <c r="D92" s="31" t="s">
        <v>82</v>
      </c>
      <c r="E92" s="1">
        <v>2.1167138303999997</v>
      </c>
      <c r="F92" s="7" t="s">
        <v>18</v>
      </c>
      <c r="G92" s="7" t="s">
        <v>18</v>
      </c>
      <c r="K92" s="33">
        <v>3500</v>
      </c>
    </row>
    <row r="93" spans="3:11" ht="17" thickBot="1" x14ac:dyDescent="0.25">
      <c r="C93" s="1" t="s">
        <v>90</v>
      </c>
      <c r="D93" s="31" t="s">
        <v>83</v>
      </c>
      <c r="E93" s="1">
        <v>1.33693297664</v>
      </c>
      <c r="F93" s="7" t="s">
        <v>18</v>
      </c>
      <c r="G93" s="7" t="s">
        <v>18</v>
      </c>
      <c r="K93" s="27">
        <f>K92*K91</f>
        <v>84273.969221119973</v>
      </c>
    </row>
    <row r="94" spans="3:11" x14ac:dyDescent="0.2">
      <c r="C94" s="1" t="s">
        <v>90</v>
      </c>
      <c r="D94" s="31" t="s">
        <v>84</v>
      </c>
      <c r="E94" s="1">
        <v>3.9941751654399993</v>
      </c>
      <c r="F94" s="7" t="s">
        <v>18</v>
      </c>
      <c r="G94" s="7" t="s">
        <v>18</v>
      </c>
    </row>
    <row r="95" spans="3:11" x14ac:dyDescent="0.2">
      <c r="C95" s="1" t="s">
        <v>90</v>
      </c>
      <c r="D95" s="31" t="s">
        <v>85</v>
      </c>
      <c r="E95" s="1">
        <v>3.22576128</v>
      </c>
      <c r="F95" s="7" t="s">
        <v>18</v>
      </c>
      <c r="G95" s="7" t="s">
        <v>18</v>
      </c>
    </row>
    <row r="96" spans="3:11" x14ac:dyDescent="0.2">
      <c r="C96" s="1" t="s">
        <v>90</v>
      </c>
      <c r="D96" s="31" t="s">
        <v>86</v>
      </c>
      <c r="E96" s="1">
        <v>2.4188089343999994</v>
      </c>
      <c r="F96" s="7" t="s">
        <v>18</v>
      </c>
      <c r="G96" s="7" t="s">
        <v>18</v>
      </c>
    </row>
    <row r="97" spans="3:7" x14ac:dyDescent="0.2">
      <c r="C97" s="1" t="s">
        <v>90</v>
      </c>
      <c r="D97" s="31" t="s">
        <v>87</v>
      </c>
      <c r="E97" s="1">
        <v>2.7649382399999998</v>
      </c>
      <c r="F97" s="7" t="s">
        <v>18</v>
      </c>
      <c r="G97" s="7" t="s">
        <v>18</v>
      </c>
    </row>
    <row r="98" spans="3:7" x14ac:dyDescent="0.2">
      <c r="E98" s="1" t="s">
        <v>88</v>
      </c>
    </row>
  </sheetData>
  <autoFilter ref="D45:G88" xr:uid="{70CE6099-3F27-464B-9B23-31F14C68DA1E}"/>
  <hyperlinks>
    <hyperlink ref="H15" r:id="rId1" xr:uid="{907FE6D2-3A91-8E45-8FCE-7E61054109EE}"/>
    <hyperlink ref="H16" r:id="rId2" xr:uid="{1E33E73B-9EAB-2E4A-8CF7-D6208D34B6F0}"/>
    <hyperlink ref="H14" r:id="rId3" xr:uid="{CE6F7FA7-ED45-D047-BA3D-762998DAFE03}"/>
    <hyperlink ref="H20" r:id="rId4" xr:uid="{0A81D67F-4D37-A344-8A28-5800E767E92E}"/>
    <hyperlink ref="H21" r:id="rId5" xr:uid="{F10E95FF-F5AD-7E47-A818-B22A2AEA3DF6}"/>
    <hyperlink ref="H11" r:id="rId6" xr:uid="{E8F71781-8D4C-644B-BC64-5BDDDB125358}"/>
    <hyperlink ref="H10" r:id="rId7" xr:uid="{87033292-B81D-4949-BA72-B3B2B584D822}"/>
    <hyperlink ref="H26" r:id="rId8" xr:uid="{DD2B9BC5-4BE7-F140-B801-1CD0C8495DCE}"/>
    <hyperlink ref="H23" r:id="rId9" xr:uid="{7B38AA47-4C49-C445-95AE-765D71384C36}"/>
    <hyperlink ref="H25" r:id="rId10" xr:uid="{E17C34D5-DD13-F143-B319-B8EA2CC0A654}"/>
    <hyperlink ref="H9" r:id="rId11" xr:uid="{8F1E3E38-F38C-C446-A163-073904214483}"/>
    <hyperlink ref="I6" r:id="rId12" xr:uid="{193DEAC8-6803-9342-91A1-48AF3C097193}"/>
    <hyperlink ref="I10" r:id="rId13" xr:uid="{BD1CB684-040F-1A4D-A9A9-48A0AF7EF5D9}"/>
    <hyperlink ref="I11" r:id="rId14" xr:uid="{72184E61-9BE3-BC4F-ADEB-12438F0C4C14}"/>
    <hyperlink ref="I23" r:id="rId15" xr:uid="{AFFFCAEB-D1E7-5C4C-8A08-F07CD62B2146}"/>
    <hyperlink ref="I24" r:id="rId16" xr:uid="{DCF6DF9A-1DEE-A944-B84A-2F891AB6B223}"/>
    <hyperlink ref="I26" r:id="rId17" xr:uid="{47C07296-DFA2-6B40-8EFA-39F70A9A97B2}"/>
    <hyperlink ref="I47" r:id="rId18" xr:uid="{784D14DD-0CFD-EF4F-B0AF-C7870411FF78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4 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Knight</dc:creator>
  <cp:lastModifiedBy>G Knight</cp:lastModifiedBy>
  <dcterms:created xsi:type="dcterms:W3CDTF">2026-05-19T23:27:13Z</dcterms:created>
  <dcterms:modified xsi:type="dcterms:W3CDTF">2026-05-23T15:23:50Z</dcterms:modified>
</cp:coreProperties>
</file>